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관리표" sheetId="1" state="visible" r:id="rId1"/>
    <sheet xmlns:r="http://schemas.openxmlformats.org/officeDocument/2006/relationships" name="지출내역" sheetId="2" state="visible" r:id="rId2"/>
    <sheet xmlns:r="http://schemas.openxmlformats.org/officeDocument/2006/relationships" name="발주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0070C0"/>
      <sz val="10"/>
    </font>
    <font>
      <name val="맑은 고딕"/>
      <color rgb="00FF0000"/>
      <sz val="10"/>
    </font>
    <font>
      <name val="맑은 고딕"/>
      <b val="1"/>
      <color rgb="00FFC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1" fillId="2" borderId="1" pivotButton="0" quotePrefix="0" xfId="0"/>
    <xf numFmtId="3" fontId="1" fillId="2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8" customWidth="1" min="4" max="4"/>
    <col width="16" customWidth="1" min="5" max="5"/>
    <col width="14" customWidth="1" min="6" max="6"/>
    <col width="16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1" customWidth="1" min="19" max="19"/>
    <col width="20" customWidth="1" min="20" max="20"/>
  </cols>
  <sheetData>
    <row r="1" ht="22" customHeight="1">
      <c r="A1" s="1" t="inlineStr">
        <is>
          <t>순번</t>
        </is>
      </c>
      <c r="B1" s="1" t="inlineStr">
        <is>
          <t>프로젝트코드</t>
        </is>
      </c>
      <c r="C1" s="1" t="inlineStr">
        <is>
          <t>프로젝트명</t>
        </is>
      </c>
      <c r="D1" s="1" t="inlineStr">
        <is>
          <t>발주처/클라이언트</t>
        </is>
      </c>
      <c r="E1" s="1" t="inlineStr">
        <is>
          <t>계약금액(원)</t>
        </is>
      </c>
      <c r="F1" s="1" t="inlineStr">
        <is>
          <t>부가세</t>
        </is>
      </c>
      <c r="G1" s="1" t="inlineStr">
        <is>
          <t>계약금액
(VAT포함)</t>
        </is>
      </c>
      <c r="H1" s="1" t="inlineStr">
        <is>
          <t>계약일</t>
        </is>
      </c>
      <c r="I1" s="1" t="inlineStr">
        <is>
          <t>공사시작일</t>
        </is>
      </c>
      <c r="J1" s="1" t="inlineStr">
        <is>
          <t>공사종료일</t>
        </is>
      </c>
      <c r="K1" s="1" t="inlineStr">
        <is>
          <t>선급금(원)</t>
        </is>
      </c>
      <c r="L1" s="1" t="inlineStr">
        <is>
          <t>기성금1차</t>
        </is>
      </c>
      <c r="M1" s="1" t="inlineStr">
        <is>
          <t>기성금2차</t>
        </is>
      </c>
      <c r="N1" s="1" t="inlineStr">
        <is>
          <t>기성금3차</t>
        </is>
      </c>
      <c r="O1" s="1" t="inlineStr">
        <is>
          <t>잔금</t>
        </is>
      </c>
      <c r="P1" s="1" t="inlineStr">
        <is>
          <t>총수령금액</t>
        </is>
      </c>
      <c r="Q1" s="1" t="inlineStr">
        <is>
          <t>총지출금액</t>
        </is>
      </c>
      <c r="R1" s="1" t="inlineStr">
        <is>
          <t>잔액</t>
        </is>
      </c>
      <c r="S1" s="1" t="inlineStr">
        <is>
          <t>수익률(%)</t>
        </is>
      </c>
      <c r="T1" s="1" t="inlineStr">
        <is>
          <t>비고/메모</t>
        </is>
      </c>
    </row>
    <row r="2" ht="20" customHeight="1">
      <c r="A2" s="2" t="n">
        <v>1</v>
      </c>
      <c r="B2" s="3" t="inlineStr">
        <is>
          <t>GS-25-0088</t>
        </is>
      </c>
      <c r="C2" s="4" t="inlineStr">
        <is>
          <t>강남 오피스 인테리어</t>
        </is>
      </c>
      <c r="D2" s="4" t="inlineStr">
        <is>
          <t>(주)글로우파트너스</t>
        </is>
      </c>
      <c r="E2" s="5" t="n">
        <v>50000000</v>
      </c>
      <c r="F2" s="5">
        <f>E2*0.1</f>
        <v/>
      </c>
      <c r="G2" s="5">
        <f>E2+F2</f>
        <v/>
      </c>
      <c r="H2" s="6" t="inlineStr">
        <is>
          <t>2025-03-01</t>
        </is>
      </c>
      <c r="I2" s="6" t="inlineStr">
        <is>
          <t>2025-03-15</t>
        </is>
      </c>
      <c r="J2" s="6" t="inlineStr">
        <is>
          <t>2025-05-30</t>
        </is>
      </c>
      <c r="K2" s="5" t="n">
        <v>5000000</v>
      </c>
      <c r="L2" s="5" t="n">
        <v>20000000</v>
      </c>
      <c r="M2" s="5" t="n">
        <v>15000000</v>
      </c>
      <c r="N2" s="5" t="n">
        <v>0</v>
      </c>
      <c r="O2" s="5" t="n">
        <v>0</v>
      </c>
      <c r="P2" s="5">
        <f>SUM(K2:O2)</f>
        <v/>
      </c>
      <c r="Q2" s="5" t="n">
        <v>38000000</v>
      </c>
      <c r="R2" s="5">
        <f>P2-Q2</f>
        <v/>
      </c>
      <c r="S2" s="7">
        <f>IF(P2=0,0,R2/P2)</f>
        <v/>
      </c>
      <c r="T2" s="3" t="inlineStr">
        <is>
          <t>1차 기성 완료</t>
        </is>
      </c>
    </row>
    <row r="3" ht="20" customHeight="1">
      <c r="A3" s="8" t="n">
        <v>2</v>
      </c>
      <c r="B3" s="9" t="inlineStr">
        <is>
          <t>GS-25-0102</t>
        </is>
      </c>
      <c r="C3" s="10" t="inlineStr">
        <is>
          <t>서초 카페 인테리어</t>
        </is>
      </c>
      <c r="D3" s="10" t="inlineStr">
        <is>
          <t>개인 홍길동</t>
        </is>
      </c>
      <c r="E3" s="11" t="n">
        <v>28000000</v>
      </c>
      <c r="F3" s="11">
        <f>E3*0.1</f>
        <v/>
      </c>
      <c r="G3" s="11">
        <f>E3+F3</f>
        <v/>
      </c>
      <c r="H3" s="12" t="inlineStr">
        <is>
          <t>2025-04-10</t>
        </is>
      </c>
      <c r="I3" s="12" t="inlineStr">
        <is>
          <t>2025-04-20</t>
        </is>
      </c>
      <c r="J3" s="12" t="inlineStr">
        <is>
          <t>2025-06-15</t>
        </is>
      </c>
      <c r="K3" s="11" t="n">
        <v>8000000</v>
      </c>
      <c r="L3" s="11" t="n">
        <v>0</v>
      </c>
      <c r="M3" s="11" t="n">
        <v>0</v>
      </c>
      <c r="N3" s="11" t="n">
        <v>0</v>
      </c>
      <c r="O3" s="11" t="n">
        <v>0</v>
      </c>
      <c r="P3" s="11">
        <f>SUM(K3:O3)</f>
        <v/>
      </c>
      <c r="Q3" s="11" t="n">
        <v>22000000</v>
      </c>
      <c r="R3" s="11">
        <f>P3-Q3</f>
        <v/>
      </c>
      <c r="S3" s="13">
        <f>IF(P3=0,0,R3/P3)</f>
        <v/>
      </c>
      <c r="T3" s="9" t="inlineStr">
        <is>
          <t>진행중</t>
        </is>
      </c>
    </row>
    <row r="4" ht="20" customHeight="1">
      <c r="A4" s="2" t="n">
        <v>3</v>
      </c>
      <c r="B4" s="3" t="inlineStr">
        <is>
          <t>GS-25-0115</t>
        </is>
      </c>
      <c r="C4" s="4" t="inlineStr">
        <is>
          <t>마포 음식점 리모델링</t>
        </is>
      </c>
      <c r="D4" s="4" t="inlineStr">
        <is>
          <t>(주)맛나푸드</t>
        </is>
      </c>
      <c r="E4" s="5" t="n">
        <v>15000000</v>
      </c>
      <c r="F4" s="5">
        <f>E4*0.1</f>
        <v/>
      </c>
      <c r="G4" s="5">
        <f>E4+F4</f>
        <v/>
      </c>
      <c r="H4" s="6" t="inlineStr">
        <is>
          <t>2025-05-01</t>
        </is>
      </c>
      <c r="I4" s="6" t="inlineStr">
        <is>
          <t>2025-05-10</t>
        </is>
      </c>
      <c r="J4" s="6" t="inlineStr">
        <is>
          <t>2025-07-10</t>
        </is>
      </c>
      <c r="K4" s="5" t="n">
        <v>3000000</v>
      </c>
      <c r="L4" s="5" t="n">
        <v>8000000</v>
      </c>
      <c r="M4" s="5" t="n">
        <v>4000000</v>
      </c>
      <c r="N4" s="5" t="n">
        <v>0</v>
      </c>
      <c r="O4" s="5" t="n">
        <v>0</v>
      </c>
      <c r="P4" s="5">
        <f>SUM(K4:O4)</f>
        <v/>
      </c>
      <c r="Q4" s="5" t="n">
        <v>13500000</v>
      </c>
      <c r="R4" s="5">
        <f>P4-Q4</f>
        <v/>
      </c>
      <c r="S4" s="7">
        <f>IF(P4=0,0,R4/P4)</f>
        <v/>
      </c>
      <c r="T4" s="3" t="inlineStr">
        <is>
          <t>공사중</t>
        </is>
      </c>
    </row>
    <row r="5" ht="22" customHeight="1">
      <c r="A5" s="1" t="inlineStr">
        <is>
          <t>합계</t>
        </is>
      </c>
      <c r="B5" s="14" t="n"/>
      <c r="C5" s="14" t="n"/>
      <c r="D5" s="14" t="n"/>
      <c r="E5" s="15">
        <f>SUM(E2:E4)</f>
        <v/>
      </c>
      <c r="F5" s="15">
        <f>SUM(F2:F4)</f>
        <v/>
      </c>
      <c r="G5" s="15">
        <f>SUM(G2:G4)</f>
        <v/>
      </c>
      <c r="H5" s="14" t="n"/>
      <c r="I5" s="14" t="n"/>
      <c r="J5" s="14" t="n"/>
      <c r="K5" s="15">
        <f>SUM(K2:K4)</f>
        <v/>
      </c>
      <c r="L5" s="15">
        <f>SUM(L2:L4)</f>
        <v/>
      </c>
      <c r="M5" s="15">
        <f>SUM(M2:M4)</f>
        <v/>
      </c>
      <c r="N5" s="15">
        <f>SUM(N2:N4)</f>
        <v/>
      </c>
      <c r="O5" s="15">
        <f>SUM(O2:O4)</f>
        <v/>
      </c>
      <c r="P5" s="15">
        <f>SUM(P2:P4)</f>
        <v/>
      </c>
      <c r="Q5" s="15">
        <f>SUM(Q2:Q4)</f>
        <v/>
      </c>
      <c r="R5" s="15">
        <f>SUM(R2:R4)</f>
        <v/>
      </c>
      <c r="S5" s="14" t="n"/>
      <c r="T5" s="14" t="n"/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3" customWidth="1" min="4" max="4"/>
    <col width="18" customWidth="1" min="5" max="5"/>
    <col width="18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20" customWidth="1" min="12" max="12"/>
  </cols>
  <sheetData>
    <row r="1" ht="22" customHeight="1">
      <c r="A1" s="1" t="inlineStr">
        <is>
          <t>순번</t>
        </is>
      </c>
      <c r="B1" s="1" t="inlineStr">
        <is>
          <t>프로젝트코드</t>
        </is>
      </c>
      <c r="C1" s="1" t="inlineStr">
        <is>
          <t>프로젝트명</t>
        </is>
      </c>
      <c r="D1" s="1" t="inlineStr">
        <is>
          <t>지출일</t>
        </is>
      </c>
      <c r="E1" s="1" t="inlineStr">
        <is>
          <t>지출항목</t>
        </is>
      </c>
      <c r="F1" s="1" t="inlineStr">
        <is>
          <t>거래처</t>
        </is>
      </c>
      <c r="G1" s="1" t="inlineStr">
        <is>
          <t>공급가액</t>
        </is>
      </c>
      <c r="H1" s="1" t="inlineStr">
        <is>
          <t>부가세</t>
        </is>
      </c>
      <c r="I1" s="1" t="inlineStr">
        <is>
          <t>합계금액</t>
        </is>
      </c>
      <c r="J1" s="1" t="inlineStr">
        <is>
          <t>결재상태</t>
        </is>
      </c>
      <c r="K1" s="1" t="inlineStr">
        <is>
          <t>결재문서번호</t>
        </is>
      </c>
      <c r="L1" s="1" t="inlineStr">
        <is>
          <t>비고</t>
        </is>
      </c>
    </row>
    <row r="2" ht="20" customHeight="1">
      <c r="A2" s="2" t="n">
        <v>1</v>
      </c>
      <c r="B2" s="16" t="inlineStr">
        <is>
          <t>GS-25-0088</t>
        </is>
      </c>
      <c r="C2" s="4" t="inlineStr">
        <is>
          <t>강남 오피스 인테리어</t>
        </is>
      </c>
      <c r="D2" s="6" t="inlineStr">
        <is>
          <t>2025-04-10</t>
        </is>
      </c>
      <c r="E2" s="4" t="inlineStr">
        <is>
          <t>외주공사비</t>
        </is>
      </c>
      <c r="F2" s="4" t="inlineStr">
        <is>
          <t>(주)ABC인테리어</t>
        </is>
      </c>
      <c r="G2" s="5" t="n">
        <v>15000000</v>
      </c>
      <c r="H2" s="5">
        <f>G2*0.1</f>
        <v/>
      </c>
      <c r="I2" s="5">
        <f>G2+H2</f>
        <v/>
      </c>
      <c r="J2" s="17" t="inlineStr">
        <is>
          <t>결재완료</t>
        </is>
      </c>
      <c r="K2" s="16" t="inlineStr">
        <is>
          <t>EA-2025-0041</t>
        </is>
      </c>
      <c r="L2" s="4" t="inlineStr"/>
    </row>
    <row r="3" ht="20" customHeight="1">
      <c r="A3" s="8" t="n">
        <v>2</v>
      </c>
      <c r="B3" s="18" t="inlineStr">
        <is>
          <t>GS-25-0088</t>
        </is>
      </c>
      <c r="C3" s="10" t="inlineStr">
        <is>
          <t>강남 오피스 인테리어</t>
        </is>
      </c>
      <c r="D3" s="12" t="inlineStr">
        <is>
          <t>2025-04-22</t>
        </is>
      </c>
      <c r="E3" s="10" t="inlineStr">
        <is>
          <t>재료비</t>
        </is>
      </c>
      <c r="F3" s="10" t="inlineStr">
        <is>
          <t>한국자재(주)</t>
        </is>
      </c>
      <c r="G3" s="11" t="n">
        <v>5500000</v>
      </c>
      <c r="H3" s="11">
        <f>G3*0.1</f>
        <v/>
      </c>
      <c r="I3" s="11">
        <f>G3+H3</f>
        <v/>
      </c>
      <c r="J3" s="19" t="inlineStr">
        <is>
          <t>결재완료</t>
        </is>
      </c>
      <c r="K3" s="18" t="inlineStr">
        <is>
          <t>EA-2025-0055</t>
        </is>
      </c>
      <c r="L3" s="10" t="inlineStr"/>
    </row>
    <row r="4" ht="20" customHeight="1">
      <c r="A4" s="2" t="n">
        <v>3</v>
      </c>
      <c r="B4" s="16" t="inlineStr">
        <is>
          <t>GS-25-0088</t>
        </is>
      </c>
      <c r="C4" s="4" t="inlineStr">
        <is>
          <t>강남 오피스 인테리어</t>
        </is>
      </c>
      <c r="D4" s="6" t="inlineStr">
        <is>
          <t>2025-05-03</t>
        </is>
      </c>
      <c r="E4" s="4" t="inlineStr">
        <is>
          <t>경비</t>
        </is>
      </c>
      <c r="F4" s="4" t="inlineStr">
        <is>
          <t>직접지출</t>
        </is>
      </c>
      <c r="G4" s="5" t="n">
        <v>300000</v>
      </c>
      <c r="H4" s="5">
        <f>G4*0.1</f>
        <v/>
      </c>
      <c r="I4" s="5">
        <f>G4+H4</f>
        <v/>
      </c>
      <c r="J4" s="20" t="inlineStr">
        <is>
          <t>미결재</t>
        </is>
      </c>
      <c r="K4" s="16" t="inlineStr"/>
      <c r="L4" s="4" t="inlineStr">
        <is>
          <t>택시비 포함</t>
        </is>
      </c>
    </row>
    <row r="5" ht="20" customHeight="1">
      <c r="A5" s="8" t="n">
        <v>4</v>
      </c>
      <c r="B5" s="18" t="inlineStr">
        <is>
          <t>GS-25-0102</t>
        </is>
      </c>
      <c r="C5" s="10" t="inlineStr">
        <is>
          <t>서초 카페 인테리어</t>
        </is>
      </c>
      <c r="D5" s="12" t="inlineStr">
        <is>
          <t>2025-05-01</t>
        </is>
      </c>
      <c r="E5" s="10" t="inlineStr">
        <is>
          <t>외주공사비</t>
        </is>
      </c>
      <c r="F5" s="10" t="inlineStr">
        <is>
          <t>(주)카페인테리어</t>
        </is>
      </c>
      <c r="G5" s="11" t="n">
        <v>10000000</v>
      </c>
      <c r="H5" s="11">
        <f>G5*0.1</f>
        <v/>
      </c>
      <c r="I5" s="11">
        <f>G5+H5</f>
        <v/>
      </c>
      <c r="J5" s="21" t="inlineStr">
        <is>
          <t>임시저장</t>
        </is>
      </c>
      <c r="K5" s="18" t="inlineStr"/>
      <c r="L5" s="10" t="inlineStr"/>
    </row>
    <row r="6" ht="20" customHeight="1">
      <c r="A6" s="2" t="n">
        <v>5</v>
      </c>
      <c r="B6" s="16" t="inlineStr">
        <is>
          <t>GS-25-0115</t>
        </is>
      </c>
      <c r="C6" s="4" t="inlineStr">
        <is>
          <t>마포 음식점 리모델링</t>
        </is>
      </c>
      <c r="D6" s="6" t="inlineStr">
        <is>
          <t>2025-05-20</t>
        </is>
      </c>
      <c r="E6" s="4" t="inlineStr">
        <is>
          <t>외주공사비</t>
        </is>
      </c>
      <c r="F6" s="4" t="inlineStr">
        <is>
          <t>맛나인테리어</t>
        </is>
      </c>
      <c r="G6" s="5" t="n">
        <v>8000000</v>
      </c>
      <c r="H6" s="5">
        <f>G6*0.1</f>
        <v/>
      </c>
      <c r="I6" s="5">
        <f>G6+H6</f>
        <v/>
      </c>
      <c r="J6" s="17" t="inlineStr">
        <is>
          <t>결재완료</t>
        </is>
      </c>
      <c r="K6" s="16" t="inlineStr">
        <is>
          <t>EA-2025-0071</t>
        </is>
      </c>
      <c r="L6" s="4" t="inlineStr"/>
    </row>
    <row r="7" ht="22" customHeight="1">
      <c r="A7" s="1" t="inlineStr">
        <is>
          <t>합계</t>
        </is>
      </c>
      <c r="B7" s="14" t="n"/>
      <c r="C7" s="14" t="n"/>
      <c r="D7" s="14" t="n"/>
      <c r="E7" s="14" t="n"/>
      <c r="F7" s="14" t="n"/>
      <c r="G7" s="15">
        <f>SUM(G2:G6)</f>
        <v/>
      </c>
      <c r="H7" s="15">
        <f>SUM(H2:H6)</f>
        <v/>
      </c>
      <c r="I7" s="15">
        <f>SUM(I2:I6)</f>
        <v/>
      </c>
      <c r="J7" s="14" t="n"/>
      <c r="K7" s="14" t="n"/>
      <c r="L7" s="14" t="n"/>
    </row>
  </sheetData>
  <mergeCells count="1">
    <mergeCell ref="A7:F7"/>
  </mergeCells>
  <dataValidations count="2">
    <dataValidation sqref="E2:E1000" showDropDown="0" showInputMessage="0" showErrorMessage="0" allowBlank="1" type="list">
      <formula1>"외주공사비,재료비,인건비,경비,설계비,감리비,기타"</formula1>
    </dataValidation>
    <dataValidation sqref="J2:J1000" showDropDown="0" showInputMessage="0" showErrorMessage="0" allowBlank="1" type="list">
      <formula1>"미결재,결재완료,임시저장,반려"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13" customWidth="1" min="12" max="12"/>
    <col width="20" customWidth="1" min="13" max="13"/>
  </cols>
  <sheetData>
    <row r="1" ht="22" customHeight="1">
      <c r="A1" s="1" t="inlineStr">
        <is>
          <t>순번</t>
        </is>
      </c>
      <c r="B1" s="1" t="inlineStr">
        <is>
          <t>프로젝트코드</t>
        </is>
      </c>
      <c r="C1" s="1" t="inlineStr">
        <is>
          <t>공종</t>
        </is>
      </c>
      <c r="D1" s="1" t="inlineStr">
        <is>
          <t>협력사명</t>
        </is>
      </c>
      <c r="E1" s="1" t="inlineStr">
        <is>
          <t>계약금액</t>
        </is>
      </c>
      <c r="F1" s="1" t="inlineStr">
        <is>
          <t>선급금</t>
        </is>
      </c>
      <c r="G1" s="1" t="inlineStr">
        <is>
          <t>기성1</t>
        </is>
      </c>
      <c r="H1" s="1" t="inlineStr">
        <is>
          <t>기성2</t>
        </is>
      </c>
      <c r="I1" s="1" t="inlineStr">
        <is>
          <t>잔금</t>
        </is>
      </c>
      <c r="J1" s="1" t="inlineStr">
        <is>
          <t>지급완료금액</t>
        </is>
      </c>
      <c r="K1" s="1" t="inlineStr">
        <is>
          <t>미지급액</t>
        </is>
      </c>
      <c r="L1" s="1" t="inlineStr">
        <is>
          <t>계약일</t>
        </is>
      </c>
      <c r="M1" s="1" t="inlineStr">
        <is>
          <t>비고</t>
        </is>
      </c>
    </row>
    <row r="2" ht="20" customHeight="1">
      <c r="A2" s="2" t="n">
        <v>1</v>
      </c>
      <c r="B2" s="16" t="inlineStr">
        <is>
          <t>GS-25-0088</t>
        </is>
      </c>
      <c r="C2" s="4" t="inlineStr">
        <is>
          <t>경량칸막이</t>
        </is>
      </c>
      <c r="D2" s="4" t="inlineStr">
        <is>
          <t>(주)ABC인테리어</t>
        </is>
      </c>
      <c r="E2" s="5" t="n">
        <v>18000000</v>
      </c>
      <c r="F2" s="5" t="n">
        <v>3000000</v>
      </c>
      <c r="G2" s="5" t="n">
        <v>10000000</v>
      </c>
      <c r="H2" s="5" t="n">
        <v>5000000</v>
      </c>
      <c r="I2" s="5" t="n">
        <v>0</v>
      </c>
      <c r="J2" s="5">
        <f>SUM(F2:I2)</f>
        <v/>
      </c>
      <c r="K2" s="5">
        <f>E2-J2</f>
        <v/>
      </c>
      <c r="L2" s="6" t="inlineStr">
        <is>
          <t>2025-03-05</t>
        </is>
      </c>
      <c r="M2" s="4" t="inlineStr"/>
    </row>
    <row r="3" ht="20" customHeight="1">
      <c r="A3" s="8" t="n">
        <v>2</v>
      </c>
      <c r="B3" s="18" t="inlineStr">
        <is>
          <t>GS-25-0088</t>
        </is>
      </c>
      <c r="C3" s="10" t="inlineStr">
        <is>
          <t>전기</t>
        </is>
      </c>
      <c r="D3" s="10" t="inlineStr">
        <is>
          <t>동서전기(주)</t>
        </is>
      </c>
      <c r="E3" s="11" t="n">
        <v>8000000</v>
      </c>
      <c r="F3" s="11" t="n">
        <v>1000000</v>
      </c>
      <c r="G3" s="11" t="n">
        <v>4000000</v>
      </c>
      <c r="H3" s="11" t="n">
        <v>3000000</v>
      </c>
      <c r="I3" s="11" t="n">
        <v>0</v>
      </c>
      <c r="J3" s="11">
        <f>SUM(F3:I3)</f>
        <v/>
      </c>
      <c r="K3" s="11">
        <f>E3-J3</f>
        <v/>
      </c>
      <c r="L3" s="12" t="inlineStr">
        <is>
          <t>2025-03-05</t>
        </is>
      </c>
      <c r="M3" s="10" t="inlineStr"/>
    </row>
    <row r="4" ht="20" customHeight="1">
      <c r="A4" s="2" t="n">
        <v>3</v>
      </c>
      <c r="B4" s="16" t="inlineStr">
        <is>
          <t>GS-25-0088</t>
        </is>
      </c>
      <c r="C4" s="4" t="inlineStr">
        <is>
          <t>음향</t>
        </is>
      </c>
      <c r="D4" s="4" t="inlineStr">
        <is>
          <t>사운드코리아</t>
        </is>
      </c>
      <c r="E4" s="5" t="n">
        <v>5000000</v>
      </c>
      <c r="F4" s="5" t="n">
        <v>0</v>
      </c>
      <c r="G4" s="5" t="n">
        <v>5000000</v>
      </c>
      <c r="H4" s="5" t="n">
        <v>0</v>
      </c>
      <c r="I4" s="5" t="n">
        <v>0</v>
      </c>
      <c r="J4" s="5">
        <f>SUM(F4:I4)</f>
        <v/>
      </c>
      <c r="K4" s="5">
        <f>E4-J4</f>
        <v/>
      </c>
      <c r="L4" s="6" t="inlineStr">
        <is>
          <t>2025-03-10</t>
        </is>
      </c>
      <c r="M4" s="4" t="inlineStr"/>
    </row>
    <row r="5" ht="20" customHeight="1">
      <c r="A5" s="8" t="n">
        <v>4</v>
      </c>
      <c r="B5" s="18" t="inlineStr">
        <is>
          <t>GS-25-0102</t>
        </is>
      </c>
      <c r="C5" s="10" t="inlineStr">
        <is>
          <t>목공</t>
        </is>
      </c>
      <c r="D5" s="10" t="inlineStr">
        <is>
          <t>나무랑(주)</t>
        </is>
      </c>
      <c r="E5" s="11" t="n">
        <v>12000000</v>
      </c>
      <c r="F5" s="11" t="n">
        <v>2000000</v>
      </c>
      <c r="G5" s="11" t="n">
        <v>0</v>
      </c>
      <c r="H5" s="11" t="n">
        <v>0</v>
      </c>
      <c r="I5" s="11" t="n">
        <v>0</v>
      </c>
      <c r="J5" s="11">
        <f>SUM(F5:I5)</f>
        <v/>
      </c>
      <c r="K5" s="11">
        <f>E5-J5</f>
        <v/>
      </c>
      <c r="L5" s="12" t="inlineStr">
        <is>
          <t>2025-04-15</t>
        </is>
      </c>
      <c r="M5" s="10" t="inlineStr">
        <is>
          <t>진행중</t>
        </is>
      </c>
    </row>
    <row r="6" ht="20" customHeight="1">
      <c r="A6" s="2" t="n">
        <v>5</v>
      </c>
      <c r="B6" s="16" t="inlineStr">
        <is>
          <t>GS-25-0115</t>
        </is>
      </c>
      <c r="C6" s="4" t="inlineStr">
        <is>
          <t>설비</t>
        </is>
      </c>
      <c r="D6" s="4" t="inlineStr">
        <is>
          <t>설비전문(주)</t>
        </is>
      </c>
      <c r="E6" s="5" t="n">
        <v>6000000</v>
      </c>
      <c r="F6" s="5" t="n">
        <v>1000000</v>
      </c>
      <c r="G6" s="5" t="n">
        <v>5000000</v>
      </c>
      <c r="H6" s="5" t="n">
        <v>0</v>
      </c>
      <c r="I6" s="5" t="n">
        <v>0</v>
      </c>
      <c r="J6" s="5">
        <f>SUM(F6:I6)</f>
        <v/>
      </c>
      <c r="K6" s="5">
        <f>E6-J6</f>
        <v/>
      </c>
      <c r="L6" s="6" t="inlineStr">
        <is>
          <t>2025-05-05</t>
        </is>
      </c>
      <c r="M6" s="4" t="inlineStr"/>
    </row>
    <row r="7" ht="22" customHeight="1">
      <c r="A7" s="1" t="inlineStr">
        <is>
          <t>합계</t>
        </is>
      </c>
      <c r="B7" s="14" t="n"/>
      <c r="C7" s="14" t="n"/>
      <c r="D7" s="14" t="n"/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4" t="n"/>
      <c r="M7" s="14" t="n"/>
    </row>
  </sheetData>
  <mergeCells count="1">
    <mergeCell ref="A7:D7"/>
  </mergeCells>
  <dataValidations count="1">
    <dataValidation sqref="C2:C1000" showDropDown="0" showInputMessage="0" showErrorMessage="0" allowBlank="1" type="list">
      <formula1>"음향,경량칸막이,전기,설비,목공,타일,도장,유리,가구,간판,기타"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2026-03-09T04:38:33Z</dcterms:created>
  <dcterms:modified xmlns:dcterms="http://purl.org/dc/terms/" xmlns:xsi="http://www.w3.org/2001/XMLSchema-instance" xsi:type="dcterms:W3CDTF">2026-03-09T04:38:33Z</dcterms:modified>
</cp:coreProperties>
</file>